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ta Cleaning Metrics" sheetId="2" r:id="rId5"/>
    <sheet state="visible" name="Job &amp; Organizational Factors" sheetId="3" r:id="rId6"/>
    <sheet state="visible" name="Demographic Factors" sheetId="4" r:id="rId7"/>
    <sheet state="visible" name="Work Experience &amp; Satisfaction" sheetId="5" r:id="rId8"/>
    <sheet state="visible" name="Compensation" sheetId="6" r:id="rId9"/>
    <sheet state="visible" name="Analysis" sheetId="7" r:id="rId10"/>
  </sheets>
  <definedNames>
    <definedName hidden="1" localSheetId="0"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<sst xmlns="http://schemas.openxmlformats.org/spreadsheetml/2006/main" count="35247" uniqueCount="3038">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</sst>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330988951"/>
        <c:axId val="2107361919"/>
      </c:barChart>
      <c:catAx>
        <c:axId val="330988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107361919"/>
      </c:catAx>
      <c:valAx>
        <c:axId val="2107361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098895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413516245"/>
        <c:axId val="830172565"/>
      </c:barChart>
      <c:catAx>
        <c:axId val="1413516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830172565"/>
      </c:catAx>
      <c:valAx>
        <c:axId val="830172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351624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360091205"/>
        <c:axId val="1842214065"/>
      </c:lineChart>
      <c:catAx>
        <c:axId val="360091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842214065"/>
      </c:catAx>
      <c:valAx>
        <c:axId val="1842214065"/>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009120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741041997"/>
        <c:axId val="278027371"/>
      </c:barChart>
      <c:catAx>
        <c:axId val="7410419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78027371"/>
      </c:catAx>
      <c:valAx>
        <c:axId val="2780273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1041997"/>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848736342"/>
        <c:axId val="872028094"/>
      </c:barChart>
      <c:catAx>
        <c:axId val="18487363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872028094"/>
      </c:catAx>
      <c:valAx>
        <c:axId val="8720280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8736342"/>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235099732"/>
        <c:axId val="1027666516"/>
      </c:barChart>
      <c:catAx>
        <c:axId val="12350997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027666516"/>
      </c:catAx>
      <c:valAx>
        <c:axId val="10276665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509973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598794051"/>
        <c:axId val="1097747425"/>
      </c:barChart>
      <c:catAx>
        <c:axId val="5987940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97747425"/>
      </c:catAx>
      <c:valAx>
        <c:axId val="10977474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8794051"/>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624586391"/>
        <c:axId val="879462119"/>
      </c:barChart>
      <c:catAx>
        <c:axId val="6245863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879462119"/>
      </c:catAx>
      <c:valAx>
        <c:axId val="8794621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4586391"/>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801410997"/>
        <c:axId val="404856533"/>
      </c:barChart>
      <c:catAx>
        <c:axId val="18014109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404856533"/>
      </c:catAx>
      <c:valAx>
        <c:axId val="4048565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0141099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456225879"/>
        <c:axId val="1457780783"/>
      </c:barChart>
      <c:catAx>
        <c:axId val="456225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457780783"/>
      </c:catAx>
      <c:valAx>
        <c:axId val="1457780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622587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24586539"/>
        <c:axId val="277382584"/>
      </c:barChart>
      <c:catAx>
        <c:axId val="124586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277382584"/>
      </c:catAx>
      <c:valAx>
        <c:axId val="277382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586539"/>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659399619"/>
        <c:axId val="715415405"/>
      </c:lineChart>
      <c:catAx>
        <c:axId val="659399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715415405"/>
      </c:catAx>
      <c:valAx>
        <c:axId val="715415405"/>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9399619"/>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813630551"/>
        <c:axId val="646925610"/>
      </c:barChart>
      <c:catAx>
        <c:axId val="18136305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646925610"/>
      </c:catAx>
      <c:valAx>
        <c:axId val="6469256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3630551"/>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758400748"/>
        <c:axId val="850992369"/>
      </c:barChart>
      <c:catAx>
        <c:axId val="17584007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850992369"/>
      </c:catAx>
      <c:valAx>
        <c:axId val="8509923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8400748"/>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327370068"/>
        <c:axId val="774666957"/>
      </c:barChart>
      <c:catAx>
        <c:axId val="3273700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774666957"/>
      </c:catAx>
      <c:valAx>
        <c:axId val="7746669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7370068"/>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195235623"/>
        <c:axId val="2032923536"/>
      </c:barChart>
      <c:catAx>
        <c:axId val="1195235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032923536"/>
      </c:catAx>
      <c:valAx>
        <c:axId val="20329235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5235623"/>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96111921"/>
        <c:axId val="1152570920"/>
      </c:barChart>
      <c:catAx>
        <c:axId val="961119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152570920"/>
      </c:catAx>
      <c:valAx>
        <c:axId val="11525709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11921"/>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597073527"/>
        <c:axId val="2118973411"/>
      </c:barChart>
      <c:catAx>
        <c:axId val="5970735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118973411"/>
      </c:catAx>
      <c:valAx>
        <c:axId val="21189734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7073527"/>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590130628"/>
        <c:axId val="765709467"/>
      </c:barChart>
      <c:catAx>
        <c:axId val="1590130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765709467"/>
      </c:catAx>
      <c:valAx>
        <c:axId val="765709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013062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c r="B11" s="6" t="s">
        <v>0</v>
      </c>
      <c r="C11" s="6" t="s">
        <v>3008</v>
      </c>
      <c r="D11" s="6" t="s">
        <v>3009</v>
      </c>
      <c r="E11" s="7" t="s">
        <v>3010</v>
      </c>
    </row>
    <row r="12">
      <c r="B12" s="6" t="s">
        <v>54</v>
      </c>
      <c r="C12" s="8">
        <f>COUNTIF(Dataset!D2:D1000, "Current Employees")</f>
        <v>2452</v>
      </c>
      <c r="D12" s="8">
        <f>COUNTA(Dataset!A2:A1000)</f>
        <v>2925</v>
      </c>
      <c r="E12" s="9">
        <f>C12/D12</f>
        <v>0.8382905983</v>
      </c>
    </row>
    <row r="13">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